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69e67dd1a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3761867597f34c7f"/>
    <x:sheet xmlns:r="http://schemas.openxmlformats.org/officeDocument/2006/relationships" name="Versions" sheetId="2" r:id="Rcf73931c024a4463"/>
    <x:sheet xmlns:r="http://schemas.openxmlformats.org/officeDocument/2006/relationships" name="Constraint Matrix" sheetId="3" r:id="Rd328370a8d014717"/>
    <x:sheet xmlns:r="http://schemas.openxmlformats.org/officeDocument/2006/relationships" name="Changes &amp; Evidence" sheetId="4" r:id="R9f586278ceba4e93"/>
    <x:sheet xmlns:r="http://schemas.openxmlformats.org/officeDocument/2006/relationships" name="Charts" sheetId="5" r:id="Ra213109b8e5244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20"/>
      <x:color rgb="FFFFFFFF"/>
      <x:name val="Aptos Display"/>
    </x:font>
    <x:font>
      <x:sz val="10"/>
      <x:color rgb="FF5D6B73"/>
      <x:name val="Aptos"/>
    </x:font>
    <x:font>
      <x:b/>
      <x:sz val="10"/>
      <x:color rgb="FFFFFFFF"/>
      <x:name val="Aptos"/>
    </x:font>
    <x:font>
      <x:sz val="9"/>
      <x:color rgb="FF18242C"/>
      <x:name val="Aptos"/>
    </x:font>
    <x:font>
      <x:b/>
      <x:sz val="10"/>
      <x:color rgb="FF16324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5"/>
      </x:patternFill>
    </x:fill>
    <x:fill>
      <x:patternFill patternType="solid">
        <x:fgColor rgb="FF23658A"/>
      </x:patternFill>
    </x:fill>
  </x:fills>
  <x:borders count="3">
    <x:border/>
    <x:border>
      <x:left style="thin">
        <x:color rgb="FFC9D7DE"/>
      </x:left>
      <x:right style="thin">
        <x:color rgb="FFC9D7DE"/>
      </x:right>
      <x:top style="thin">
        <x:color rgb="FFC9D7DE"/>
      </x:top>
      <x:bottom style="thin">
        <x:color rgb="FFC9D7DE"/>
      </x:bottom>
    </x:border>
    <x:border>
      <x:left style="thin">
        <x:color rgb="FFD7E1E6"/>
      </x:left>
      <x:right style="thin">
        <x:color rgb="FFD7E1E6"/>
      </x:right>
      <x:top style="thin">
        <x:color rgb="FFD7E1E6"/>
      </x:top>
      <x:bottom style="thin">
        <x:color rgb="FFD7E1E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FFFFFF"/>
      </x:font>
      <x:fill>
        <x:patternFill patternType="solid">
          <x:bgColor rgb="FF2E7D5A"/>
        </x:patternFill>
      </x:fill>
    </x:dxf>
    <x:dxf>
      <x:font>
        <x:b/>
        <x:color rgb="FFFFFFFF"/>
      </x:font>
      <x:fill>
        <x:patternFill patternType="solid">
          <x:bgColor rgb="FF5E89B5"/>
        </x:patternFill>
      </x:fill>
    </x:dxf>
    <x:dxf>
      <x:font>
        <x:b/>
        <x:color rgb="FFFFFFFF"/>
      </x:font>
      <x:fill>
        <x:patternFill patternType="solid">
          <x:bgColor rgb="FFD59A3A"/>
        </x:patternFill>
      </x:fill>
    </x:dxf>
    <x:dxf>
      <x:font>
        <x:b/>
        <x:color rgb="FFFFFFFF"/>
      </x:font>
      <x:fill>
        <x:patternFill patternType="solid">
          <x:bgColor rgb="FFA66FC2"/>
        </x:patternFill>
      </x:fill>
    </x:dxf>
    <x:dxf>
      <x:font>
        <x:b/>
        <x:color rgb="FFFFFFFF"/>
      </x:font>
      <x:fill>
        <x:patternFill patternType="solid">
          <x:bgColor rgb="FFB85B55"/>
        </x:patternFill>
      </x:fill>
    </x:dxf>
    <x:dxf>
      <x:font>
        <x:b/>
        <x:color rgb="FFFFFFFF"/>
      </x:font>
      <x:fill>
        <x:patternFill patternType="solid">
          <x:bgColor rgb="FF89939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9723322534c37" /><Relationship Type="http://schemas.openxmlformats.org/officeDocument/2006/relationships/theme" Target="/xl/theme/theme1.xml" Id="Ra3205d0f86d24bb0" /><Relationship Type="http://schemas.openxmlformats.org/officeDocument/2006/relationships/sharedStrings" Target="/xl/sharedStrings.xml" Id="R6c00d9afb18c4d45" /><Relationship Type="http://schemas.openxmlformats.org/officeDocument/2006/relationships/worksheet" Target="/xl/worksheets/sheet1.xml" Id="R3761867597f34c7f" /><Relationship Type="http://schemas.openxmlformats.org/officeDocument/2006/relationships/worksheet" Target="/xl/worksheets/sheet2.xml" Id="Rcf73931c024a4463" /><Relationship Type="http://schemas.openxmlformats.org/officeDocument/2006/relationships/worksheet" Target="/xl/worksheets/sheet3.xml" Id="Rd328370a8d014717" /><Relationship Type="http://schemas.openxmlformats.org/officeDocument/2006/relationships/worksheet" Target="/xl/worksheets/sheet4.xml" Id="R9f586278ceba4e93" /><Relationship Type="http://schemas.openxmlformats.org/officeDocument/2006/relationships/worksheet" Target="/xl/worksheets/sheet5.xml" Id="Ra213109b8e5244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12089cd2bfc4a37" /><Relationship Type="http://schemas.openxmlformats.org/officeDocument/2006/relationships/chart" Target="/xl/drawings/charts/chart2.xml" Id="R545decdceb754bc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Documented constraint status counts by version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Implemented</c:v>
          </c:tx>
          <c:spPr>
            <a:solidFill xmlns:a="http://schemas.openxmlformats.org/drawingml/2006/main">
              <a:srgbClr val="2E7D5A"/>
            </a:solidFill>
          </c:spPr>
          <c:cat>
            <c:strRef>
              <c:f>'Charts'!$A$4:$A$12</c:f>
              <c:strCache>
                <c:ptCount val="0"/>
              </c:strCache>
            </c:strRef>
          </c:cat>
          <c:val>
            <c:numRef>
              <c:f>'Charts'!$B$4:$B$12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Partial</c:v>
          </c:tx>
          <c:spPr>
            <a:solidFill xmlns:a="http://schemas.openxmlformats.org/drawingml/2006/main">
              <a:srgbClr val="5E89B5"/>
            </a:solidFill>
          </c:spPr>
          <c:cat>
            <c:strRef>
              <c:f>'Charts'!$A$4:$A$12</c:f>
              <c:strCache>
                <c:ptCount val="0"/>
              </c:strCache>
            </c:strRef>
          </c:cat>
          <c:val>
            <c:numRef>
              <c:f>'Charts'!$C$4:$C$12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Approximation</c:v>
          </c:tx>
          <c:spPr>
            <a:solidFill xmlns:a="http://schemas.openxmlformats.org/drawingml/2006/main">
              <a:srgbClr val="D59A3A"/>
            </a:solidFill>
          </c:spPr>
          <c:cat>
            <c:strRef>
              <c:f>'Charts'!$A$4:$A$12</c:f>
              <c:strCache>
                <c:ptCount val="0"/>
              </c:strCache>
            </c:strRef>
          </c:cat>
          <c:val>
            <c:numRef>
              <c:f>'Charts'!$D$4:$D$12</c:f>
              <c:numCache>
                <c:formatCode>0</c:formatCode>
                <c:ptCount val="0"/>
              </c:numCache>
            </c:numRef>
          </c:val>
        </c:ser>
        <c:ser>
          <c:idx val="3"/>
          <c:order val="3"/>
          <c:tx>
            <c:v>Visualization-only</c:v>
          </c:tx>
          <c:spPr>
            <a:solidFill xmlns:a="http://schemas.openxmlformats.org/drawingml/2006/main">
              <a:srgbClr val="A66FC2"/>
            </a:solidFill>
          </c:spPr>
          <c:cat>
            <c:strRef>
              <c:f>'Charts'!$A$4:$A$12</c:f>
              <c:strCache>
                <c:ptCount val="0"/>
              </c:strCache>
            </c:strRef>
          </c:cat>
          <c:val>
            <c:numRef>
              <c:f>'Charts'!$E$4:$E$12</c:f>
              <c:numCache>
                <c:formatCode>0</c:formatCode>
                <c:ptCount val="0"/>
              </c:numCache>
            </c:numRef>
          </c:val>
        </c:ser>
        <c:ser>
          <c:idx val="4"/>
          <c:order val="4"/>
          <c:tx>
            <c:v>Absent</c:v>
          </c:tx>
          <c:spPr>
            <a:solidFill xmlns:a="http://schemas.openxmlformats.org/drawingml/2006/main">
              <a:srgbClr val="B85B55"/>
            </a:solidFill>
          </c:spPr>
          <c:cat>
            <c:strRef>
              <c:f>'Charts'!$A$4:$A$12</c:f>
              <c:strCache>
                <c:ptCount val="0"/>
              </c:strCache>
            </c:strRef>
          </c:cat>
          <c:val>
            <c:numRef>
              <c:f>'Charts'!$F$4:$F$12</c:f>
              <c:numCache>
                <c:formatCode>0</c:formatCode>
                <c:ptCount val="0"/>
              </c:numCache>
            </c:numRef>
          </c:val>
        </c:ser>
        <c:ser>
          <c:idx val="5"/>
          <c:order val="5"/>
          <c:tx>
            <c:v>Unknown</c:v>
          </c:tx>
          <c:spPr>
            <a:solidFill xmlns:a="http://schemas.openxmlformats.org/drawingml/2006/main">
              <a:srgbClr val="89939A"/>
            </a:solidFill>
          </c:spPr>
          <c:cat>
            <c:strRef>
              <c:f>'Charts'!$A$4:$A$12</c:f>
              <c:strCache>
                <c:ptCount val="0"/>
              </c:strCache>
            </c:strRef>
          </c:cat>
          <c:val>
            <c:numRef>
              <c:f>'Charts'!$G$4:$G$12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Tracked test files at each source snapshot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Tracked test files</c:v>
          </c:tx>
          <c:spPr>
            <a:ln xmlns:a="http://schemas.openxmlformats.org/drawingml/2006/main" w="19050">
              <a:solidFill>
                <a:srgbClr val="E17845"/>
              </a:solidFill>
            </a:ln>
          </c:spPr>
          <c:marker>
            <c:symbol val="none"/>
          </c:marker>
          <c:cat>
            <c:strRef>
              <c:f>'Charts'!$I$4:$I$12</c:f>
              <c:strCache>
                <c:ptCount val="0"/>
              </c:strCache>
            </c:strRef>
          </c:cat>
          <c:val>
            <c:numRef>
              <c:f>'Charts'!$J$4:$J$12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2089cd2bfc4a37"/>
        </a:graphicData>
      </a:graphic>
    </xdr:graphicFrame>
    <xdr:clientData/>
  </xdr:twoCellAnchor>
  <xdr:twoCellAnchor>
    <xdr:from>
      <xdr:col>8</xdr:col>
      <xdr:colOff>0</xdr:colOff>
      <xdr:row>14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5decdceb754bc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c55c0a832e474936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4" hidden="0" customWidth="1"/>
    <x:col min="2" max="2" width="95" hidden="0" customWidth="1"/>
  </x:cols>
  <x:sheetData>
    <x:row r="1" ht="30" customHeight="1">
      <x:c r="A1" s="3" t="str">
        <x:v>Physics Comparison · v0.8 onward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Evidence-based implementation status. Feature counts are not accuracy scores and do not measure physical correctness. Unknown is distinct from Absent.</x:v>
      </x:c>
      <x:c r="B2" s="7"/>
      <x:c r="C2" s="7"/>
      <x:c r="D2" s="7"/>
      <x:c r="E2" s="7"/>
      <x:c r="F2" s="7"/>
      <x:c r="G2" s="7"/>
      <x:c r="H2" s="7"/>
    </x:row>
    <x:row r="4" ht="34" customHeight="1">
      <x:c r="A4" s="12" t="str">
        <x:v>Workbook scope</x:v>
      </x:c>
      <x:c r="B4" s="16" t="str">
        <x:v>Compares identifiable repository versions 0.8.0–0.16.0 using tagged commits, current source, tests and documentation. Proposed future work is excluded from implemented status.</x:v>
      </x:c>
    </x:row>
    <x:row r="5" ht="34" customHeight="1">
      <x:c r="A5" s="12" t="str">
        <x:v>Implementation fidelity</x:v>
      </x:c>
      <x:c r="B5" s="16" t="str">
        <x:v>Status of code/model presence: Implemented, Partial, Approximation, Visualization-only, Absent or Unknown.</x:v>
      </x:c>
    </x:row>
    <x:row r="6" ht="34" customHeight="1">
      <x:c r="A6" s="12" t="str">
        <x:v>Validation status</x:v>
      </x:c>
      <x:c r="B6" s="16" t="str">
        <x:v>Reported separately in the Versions sheet. Numerical checks and conservation are not experimental validation.</x:v>
      </x:c>
    </x:row>
    <x:row r="7" ht="34" customHeight="1">
      <x:c r="A7" s="12" t="str">
        <x:v>Unknown</x:v>
      </x:c>
      <x:c r="B7" s="16" t="str">
        <x:v>The reviewed historical evidence was insufficient to establish presence or absence. It is not treated as zero.</x:v>
      </x:c>
    </x:row>
    <x:row r="8" ht="34" customHeight="1">
      <x:c r="A8" s="12" t="str">
        <x:v>Unavailable replay</x:v>
      </x:c>
      <x:c r="B8" s="16" t="str">
        <x:v>The current app lacks an immutable replay asset, although tagged source history may exist.</x:v>
      </x:c>
    </x:row>
    <x:row r="9" ht="34" customHeight="1">
      <x:c r="A9" s="12" t="str">
        <x:v>Chart 1</x:v>
      </x:c>
      <x:c r="B9" s="16" t="str">
        <x:v>Counts matrix status categories by release. A larger feature count does not mean a more accurate model.</x:v>
      </x:c>
    </x:row>
    <x:row r="10" ht="34" customHeight="1">
      <x:c r="A10" s="12" t="str">
        <x:v>Chart 2</x:v>
      </x:c>
      <x:c r="B10" s="16" t="str">
        <x:v>Counts tracked `*.test.ts` files at each tag/current baseline. Test-file count does not measure physics quality.</x:v>
      </x:c>
    </x:row>
    <x:row r="11" ht="34" customHeight="1">
      <x:c r="A11" s="12" t="str">
        <x:v>Current baseline</x:v>
      </x:c>
      <x:c r="B11" s="16" t="str">
        <x:v>4caaba31bf073fe8c9c2ce3dd793626a6d1d71c3</x:v>
      </x:c>
    </x:row>
    <x:row r="12" ht="34" customHeight="1">
      <x:c r="A12" s="12" t="str">
        <x:v>Prepared</x:v>
      </x:c>
      <x:c r="B12" s="16" t="str">
        <x:v>2026-09-29 · repository evidence only</x:v>
      </x:c>
    </x:row>
    <x:row r="13" ht="34" customHeight="1">
      <x:c r="A13" s="12" t="str">
        <x:v>Primary evidence</x:v>
      </x:c>
      <x:c r="B13" s="16" t="str">
        <x:v>docs/BUILD_STATUS.md; docs/VALIDATION_STATUS.md; docs/PHYSICS_MODEL.md; docs/COUPLED_VALIDATION.md; tagged source history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658A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44" hidden="0" customWidth="1"/>
    <x:col min="3" max="3" width="14" hidden="0" customWidth="1"/>
    <x:col min="4" max="4" width="25" hidden="0" customWidth="1"/>
    <x:col min="5" max="5" width="16" hidden="0" customWidth="1"/>
    <x:col min="6" max="6" width="54" hidden="0" customWidth="1"/>
    <x:col min="7" max="7" width="22" hidden="0" customWidth="1"/>
    <x:col min="8" max="8" width="42" hidden="0" customWidth="1"/>
    <x:col min="9" max="9" width="17" hidden="0" customWidth="1"/>
    <x:col min="10" max="10" width="58" hidden="0" customWidth="1"/>
  </x:cols>
  <x:sheetData>
    <x:row r="1" ht="30" customHeight="1">
      <x:c r="A1" s="3" t="str">
        <x:v>Version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Implementation fidelity and validation status are separate. Test-file counts are exact tracked-file counts, not test-case or accuracy scores.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12" t="str">
        <x:v>Version</x:v>
      </x:c>
      <x:c r="B4" s="12" t="str">
        <x:v>Commit</x:v>
      </x:c>
      <x:c r="C4" s="12" t="str">
        <x:v>Release state</x:v>
      </x:c>
      <x:c r="D4" s="12" t="str">
        <x:v>Primary mode</x:v>
      </x:c>
      <x:c r="E4" s="12" t="str">
        <x:v>Replay now</x:v>
      </x:c>
      <x:c r="F4" s="12" t="str">
        <x:v>Change from prior version</x:v>
      </x:c>
      <x:c r="G4" s="12" t="str">
        <x:v>Implementation fidelity</x:v>
      </x:c>
      <x:c r="H4" s="12" t="str">
        <x:v>Validation status</x:v>
      </x:c>
      <x:c r="I4" s="12" t="str">
        <x:v>Tracked test files</x:v>
      </x:c>
      <x:c r="J4" s="12" t="str">
        <x:v>Evidence</x:v>
      </x:c>
    </x:row>
    <x:row r="5" ht="54" customHeight="1">
      <x:c r="A5" s="17" t="str">
        <x:v>0.8.0</x:v>
      </x:c>
      <x:c r="B5" s="16" t="str">
        <x:v>f3e7f16eedd0bfc0efb41b5525fa0cb1702127c4</x:v>
      </x:c>
      <x:c r="C5" s="16" t="str">
        <x:v>Published</x:v>
      </x:c>
      <x:c r="D5" s="16" t="str">
        <x:v>Animation + reduced physics</x:v>
      </x:c>
      <x:c r="E5" s="16" t="str">
        <x:v>Interactive</x:v>
      </x:c>
      <x:c r="F5" s="16" t="str">
        <x:v>Seated cap, bonded soil, deeper peat and rooted oak.</x:v>
      </x:c>
      <x:c r="G5" s="16" t="str">
        <x:v>Visualization-only</x:v>
      </x:c>
      <x:c r="H5" s="16" t="str">
        <x:v>Unverified; numerical/software checks only</x:v>
      </x:c>
      <x:c r="I5" s="18" t="n">
        <x:v>15</x:v>
      </x:c>
      <x:c r="J5" s="16" t="str">
        <x:v>docs/CAP_SOIL_PARTICLES.md; tests/soilParticleModel.test.ts</x:v>
      </x:c>
    </x:row>
    <x:row r="6" ht="54" customHeight="1">
      <x:c r="A6" s="17" t="str">
        <x:v>0.9.0</x:v>
      </x:c>
      <x:c r="B6" s="16" t="str">
        <x:v>3f48032c773a61611836e20f16c6d26c2d616244</x:v>
      </x:c>
      <x:c r="C6" s="16" t="str">
        <x:v>Published</x:v>
      </x:c>
      <x:c r="D6" s="16" t="str">
        <x:v>Animation + reduced physics</x:v>
      </x:c>
      <x:c r="E6" s="16" t="str">
        <x:v>Interactive</x:v>
      </x:c>
      <x:c r="F6" s="16" t="str">
        <x:v>Broad ground opening, irregular roots and resurfacing peat-fire illustration.</x:v>
      </x:c>
      <x:c r="G6" s="16" t="str">
        <x:v>Visualization-only</x:v>
      </x:c>
      <x:c r="H6" s="16" t="str">
        <x:v>Unverified; numerical/software checks only</x:v>
      </x:c>
      <x:c r="I6" s="18" t="n">
        <x:v>16</x:v>
      </x:c>
      <x:c r="J6" s="16" t="str">
        <x:v>docs/WIDE_RUPTURE_FIRE.md; tests/wideSoil.test.ts</x:v>
      </x:c>
    </x:row>
    <x:row r="7" ht="54" customHeight="1">
      <x:c r="A7" s="17" t="str">
        <x:v>0.10.0</x:v>
      </x:c>
      <x:c r="B7" s="16" t="str">
        <x:v>ecc8daa557894b618c9fc1d18a2e6a37ce2a570d</x:v>
      </x:c>
      <x:c r="C7" s="16" t="str">
        <x:v>Published</x:v>
      </x:c>
      <x:c r="D7" s="16" t="str">
        <x:v>Physics simulation</x:v>
      </x:c>
      <x:c r="E7" s="16" t="str">
        <x:v>Unavailable</x:v>
      </x:c>
      <x:c r="F7" s="16" t="str">
        <x:v>FEM mechanics workbench and energy-accounted tensile coupon with lab-data comparison.</x:v>
      </x:c>
      <x:c r="G7" s="16" t="str">
        <x:v>Partial</x:v>
      </x:c>
      <x:c r="H7" s="16" t="str">
        <x:v>Limited benchmark comparison; no field validation</x:v>
      </x:c>
      <x:c r="I7" s="18" t="n">
        <x:v>18</x:v>
      </x:c>
      <x:c r="J7" s="16" t="str">
        <x:v>docs/MODEL_WORKBENCH.md; docs/PEAT_TENSILE_FAILURE.md</x:v>
      </x:c>
    </x:row>
    <x:row r="8" ht="54" customHeight="1">
      <x:c r="A8" s="17" t="str">
        <x:v>0.11.0</x:v>
      </x:c>
      <x:c r="B8" s="16" t="str">
        <x:v>05d9c292476677068e9040f5843e70b8ec33ec32</x:v>
      </x:c>
      <x:c r="C8" s="16" t="str">
        <x:v>Published</x:v>
      </x:c>
      <x:c r="D8" s="16" t="str">
        <x:v>Physics simulation</x:v>
      </x:c>
      <x:c r="E8" s="16" t="str">
        <x:v>Unavailable</x:v>
      </x:c>
      <x:c r="F8" s="16" t="str">
        <x:v>3D coupled transport/mechanics, cap, buoyancy and acceptance gates.</x:v>
      </x:c>
      <x:c r="G8" s="16" t="str">
        <x:v>Partial</x:v>
      </x:c>
      <x:c r="H8" s="16" t="str">
        <x:v>Analytic/numerical checks; fracture gate fails</x:v>
      </x:c>
      <x:c r="I8" s="18" t="n">
        <x:v>22</x:v>
      </x:c>
      <x:c r="J8" s="16" t="str">
        <x:v>docs/COUPLED_MODEL.md; docs/COUPLED_VALIDATION.md</x:v>
      </x:c>
    </x:row>
    <x:row r="9" ht="54" customHeight="1">
      <x:c r="A9" s="17" t="str">
        <x:v>0.12.0</x:v>
      </x:c>
      <x:c r="B9" s="16" t="str">
        <x:v>1ec0710c4addc39f8aa1c06cf2a6b06840862d38</x:v>
      </x:c>
      <x:c r="C9" s="16" t="str">
        <x:v>Prerelease</x:v>
      </x:c>
      <x:c r="D9" s="16" t="str">
        <x:v>Animation + physics evidence</x:v>
      </x:c>
      <x:c r="E9" s="16" t="str">
        <x:v>Unavailable</x:v>
      </x:c>
      <x:c r="F9" s="16" t="str">
        <x:v>Unified natural cutaway and clearer evidence/scope presentation.</x:v>
      </x:c>
      <x:c r="G9" s="16" t="str">
        <x:v>Partial</x:v>
      </x:c>
      <x:c r="H9" s="16" t="str">
        <x:v>No new matched experimental validation identified</x:v>
      </x:c>
      <x:c r="I9" s="18" t="n">
        <x:v>25</x:v>
      </x:c>
      <x:c r="J9" s="16" t="str">
        <x:v>tag v0.12.0; docs/VALIDATION_STATUS.md</x:v>
      </x:c>
    </x:row>
    <x:row r="10" ht="54" customHeight="1">
      <x:c r="A10" s="17" t="str">
        <x:v>0.13.0</x:v>
      </x:c>
      <x:c r="B10" s="16" t="str">
        <x:v>6ac5b404eb2f87894704e91c876a7a05887528d2</x:v>
      </x:c>
      <x:c r="C10" s="16" t="str">
        <x:v>Prerelease</x:v>
      </x:c>
      <x:c r="D10" s="16" t="str">
        <x:v>Physics simulation</x:v>
      </x:c>
      <x:c r="E10" s="16" t="str">
        <x:v>Unavailable</x:v>
      </x:c>
      <x:c r="F10" s="16" t="str">
        <x:v>Finer precision timesteps and expanded accepted numerical evidence.</x:v>
      </x:c>
      <x:c r="G10" s="16" t="str">
        <x:v>Partial</x:v>
      </x:c>
      <x:c r="H10" s="16" t="str">
        <x:v>Numerical evidence only; no matched field validation</x:v>
      </x:c>
      <x:c r="I10" s="18" t="n">
        <x:v>25</x:v>
      </x:c>
      <x:c r="J10" s="16" t="str">
        <x:v>tag v0.13.0; docs/VALIDATION_STATUS.md</x:v>
      </x:c>
    </x:row>
    <x:row r="11" ht="54" customHeight="1">
      <x:c r="A11" s="17" t="str">
        <x:v>0.14.0</x:v>
      </x:c>
      <x:c r="B11" s="16" t="str">
        <x:v>f97d28ac260164d4812483f9670957ec431dd2fb</x:v>
      </x:c>
      <x:c r="C11" s="16" t="str">
        <x:v>Prerelease</x:v>
      </x:c>
      <x:c r="D11" s="16" t="str">
        <x:v>Animation + fire protocol</x:v>
      </x:c>
      <x:c r="E11" s="16" t="str">
        <x:v>Archived film</x:v>
      </x:c>
      <x:c r="F11" s="16" t="str">
        <x:v>Complete peat-fire films and event-separated accepted fire protocol.</x:v>
      </x:c>
      <x:c r="G11" s="16" t="str">
        <x:v>Partial</x:v>
      </x:c>
      <x:c r="H11" s="16" t="str">
        <x:v>Conservation checks; long-time convergence not established</x:v>
      </x:c>
      <x:c r="I11" s="18" t="n">
        <x:v>30</x:v>
      </x:c>
      <x:c r="J11" s="16" t="str">
        <x:v>docs/FIRE_PROTOCOL.md; tests/fireProtocol.test.ts</x:v>
      </x:c>
    </x:row>
    <x:row r="12" ht="54" customHeight="1">
      <x:c r="A12" s="17" t="str">
        <x:v>0.15.0</x:v>
      </x:c>
      <x:c r="B12" s="16" t="str">
        <x:v>223eda6f7a8e29291ebb5844fc2aa3f655f5d1cb</x:v>
      </x:c>
      <x:c r="C12" s="16" t="str">
        <x:v>Prerelease</x:v>
      </x:c>
      <x:c r="D12" s="16" t="str">
        <x:v>Animation + unchanged physics</x:v>
      </x:c>
      <x:c r="E12" s="16" t="str">
        <x:v>Archived film</x:v>
      </x:c>
      <x:c r="F12" s="16" t="str">
        <x:v>Visual refinement and verified complete film bundle; solvers/cache unchanged.</x:v>
      </x:c>
      <x:c r="G12" s="16" t="str">
        <x:v>Partial</x:v>
      </x:c>
      <x:c r="H12" s="16" t="str">
        <x:v>Same physics evidence as 0.14; visual review is not validation</x:v>
      </x:c>
      <x:c r="I12" s="18" t="n">
        <x:v>31</x:v>
      </x:c>
      <x:c r="J12" s="16" t="str">
        <x:v>docs/review/unified/realism-015.md; docs/VALIDATION_STATUS.md</x:v>
      </x:c>
    </x:row>
    <x:row r="13" ht="54" customHeight="1">
      <x:c r="A13" s="17" t="str">
        <x:v>0.16.0</x:v>
      </x:c>
      <x:c r="B13" s="16" t="str">
        <x:v>4caaba31bf073fe8c9c2ce3dd793626a6d1d71c3</x:v>
      </x:c>
      <x:c r="C13" s="16" t="str">
        <x:v>Current candidate</x:v>
      </x:c>
      <x:c r="D13" s="16" t="str">
        <x:v>Animation + reduced physics</x:v>
      </x:c>
      <x:c r="E13" s="16" t="str">
        <x:v>Interactive</x:v>
      </x:c>
      <x:c r="F13" s="16" t="str">
        <x:v>Finite contact cooling, woven hose, deployable dome, comparison workspace and layouts.</x:v>
      </x:c>
      <x:c r="G13" s="16" t="str">
        <x:v>Partial</x:v>
      </x:c>
      <x:c r="H13" s="16" t="str">
        <x:v>Software/conservation checks; replacement films and field validation pending</x:v>
      </x:c>
      <x:c r="I13" s="18" t="n">
        <x:v>33</x:v>
      </x:c>
      <x:c r="J13" s="16" t="str">
        <x:v>docs/CONTACT_COOLING.md; tests/contactCooling.test.ts; tests/simulationCatalog.test.ts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AB1BB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0" customHeight="1">
      <x:c r="A1" s="3" t="str">
        <x:v>Version / constraint matrix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Statuses describe implementation fidelity at each source snapshot. Unknown historical evidence remains Unknown; Absent is used only when evidence supports absence.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4" customHeight="1">
      <x:c r="A4" s="12" t="str">
        <x:v>Constraint</x:v>
      </x:c>
      <x:c r="B4" s="12" t="str">
        <x:v>0.8.0</x:v>
      </x:c>
      <x:c r="C4" s="12" t="str">
        <x:v>0.9.0</x:v>
      </x:c>
      <x:c r="D4" s="12" t="str">
        <x:v>0.10.0</x:v>
      </x:c>
      <x:c r="E4" s="12" t="str">
        <x:v>0.11.0</x:v>
      </x:c>
      <x:c r="F4" s="12" t="str">
        <x:v>0.12.0</x:v>
      </x:c>
      <x:c r="G4" s="12" t="str">
        <x:v>0.13.0</x:v>
      </x:c>
      <x:c r="H4" s="12" t="str">
        <x:v>0.14.0</x:v>
      </x:c>
      <x:c r="I4" s="12" t="str">
        <x:v>0.15.0</x:v>
      </x:c>
      <x:c r="J4" s="12" t="str">
        <x:v>0.16.0</x:v>
      </x:c>
    </x:row>
    <x:row r="5" ht="30" customHeight="1">
      <x:c r="A5" s="16" t="str">
        <x:v>Finite CO₂ inventory</x:v>
      </x:c>
      <x:c r="B5" s="16" t="str">
        <x:v>Implemented</x:v>
      </x:c>
      <x:c r="C5" s="16" t="str">
        <x:v>Implemented</x:v>
      </x:c>
      <x:c r="D5" s="16" t="str">
        <x:v>Implemented</x:v>
      </x:c>
      <x:c r="E5" s="16" t="str">
        <x:v>Implemented</x:v>
      </x:c>
      <x:c r="F5" s="16" t="str">
        <x:v>Implemented</x:v>
      </x:c>
      <x:c r="G5" s="16" t="str">
        <x:v>Implemented</x:v>
      </x:c>
      <x:c r="H5" s="16" t="str">
        <x:v>Implemented</x:v>
      </x:c>
      <x:c r="I5" s="16" t="str">
        <x:v>Implemented</x:v>
      </x:c>
      <x:c r="J5" s="16" t="str">
        <x:v>Implemented</x:v>
      </x:c>
    </x:row>
    <x:row r="6" ht="30" customHeight="1">
      <x:c r="A6" s="16" t="str">
        <x:v>Heat / enthalpy transport</x:v>
      </x:c>
      <x:c r="B6" s="16" t="str">
        <x:v>Partial</x:v>
      </x:c>
      <x:c r="C6" s="16" t="str">
        <x:v>Partial</x:v>
      </x:c>
      <x:c r="D6" s="16" t="str">
        <x:v>Partial</x:v>
      </x:c>
      <x:c r="E6" s="16" t="str">
        <x:v>Partial</x:v>
      </x:c>
      <x:c r="F6" s="16" t="str">
        <x:v>Partial</x:v>
      </x:c>
      <x:c r="G6" s="16" t="str">
        <x:v>Partial</x:v>
      </x:c>
      <x:c r="H6" s="16" t="str">
        <x:v>Partial</x:v>
      </x:c>
      <x:c r="I6" s="16" t="str">
        <x:v>Partial</x:v>
      </x:c>
      <x:c r="J6" s="16" t="str">
        <x:v>Partial</x:v>
      </x:c>
    </x:row>
    <x:row r="7" ht="30" customHeight="1">
      <x:c r="A7" s="16" t="str">
        <x:v>Porous gas &amp; species transport</x:v>
      </x:c>
      <x:c r="B7" s="16" t="str">
        <x:v>Partial</x:v>
      </x:c>
      <x:c r="C7" s="16" t="str">
        <x:v>Partial</x:v>
      </x:c>
      <x:c r="D7" s="16" t="str">
        <x:v>Partial</x:v>
      </x:c>
      <x:c r="E7" s="16" t="str">
        <x:v>Partial</x:v>
      </x:c>
      <x:c r="F7" s="16" t="str">
        <x:v>Partial</x:v>
      </x:c>
      <x:c r="G7" s="16" t="str">
        <x:v>Partial</x:v>
      </x:c>
      <x:c r="H7" s="16" t="str">
        <x:v>Partial</x:v>
      </x:c>
      <x:c r="I7" s="16" t="str">
        <x:v>Partial</x:v>
      </x:c>
      <x:c r="J7" s="16" t="str">
        <x:v>Partial</x:v>
      </x:c>
    </x:row>
    <x:row r="8" ht="30" customHeight="1">
      <x:c r="A8" s="16" t="str">
        <x:v>Peat combustion chemistry</x:v>
      </x:c>
      <x:c r="B8" s="16" t="str">
        <x:v>Approximation</x:v>
      </x:c>
      <x:c r="C8" s="16" t="str">
        <x:v>Approximation</x:v>
      </x:c>
      <x:c r="D8" s="16" t="str">
        <x:v>Approximation</x:v>
      </x:c>
      <x:c r="E8" s="16" t="str">
        <x:v>Approximation</x:v>
      </x:c>
      <x:c r="F8" s="16" t="str">
        <x:v>Approximation</x:v>
      </x:c>
      <x:c r="G8" s="16" t="str">
        <x:v>Approximation</x:v>
      </x:c>
      <x:c r="H8" s="16" t="str">
        <x:v>Approximation</x:v>
      </x:c>
      <x:c r="I8" s="16" t="str">
        <x:v>Approximation</x:v>
      </x:c>
      <x:c r="J8" s="16" t="str">
        <x:v>Approximation</x:v>
      </x:c>
    </x:row>
    <x:row r="9" ht="30" customHeight="1">
      <x:c r="A9" s="16" t="str">
        <x:v>Water phase / transport</x:v>
      </x:c>
      <x:c r="B9" s="16" t="str">
        <x:v>Unknown</x:v>
      </x:c>
      <x:c r="C9" s="16" t="str">
        <x:v>Unknown</x:v>
      </x:c>
      <x:c r="D9" s="16" t="str">
        <x:v>Unknown</x:v>
      </x:c>
      <x:c r="E9" s="16" t="str">
        <x:v>Partial</x:v>
      </x:c>
      <x:c r="F9" s="16" t="str">
        <x:v>Partial</x:v>
      </x:c>
      <x:c r="G9" s="16" t="str">
        <x:v>Partial</x:v>
      </x:c>
      <x:c r="H9" s="16" t="str">
        <x:v>Partial</x:v>
      </x:c>
      <x:c r="I9" s="16" t="str">
        <x:v>Partial</x:v>
      </x:c>
      <x:c r="J9" s="16" t="str">
        <x:v>Partial</x:v>
      </x:c>
    </x:row>
    <x:row r="10" ht="30" customHeight="1">
      <x:c r="A10" s="16" t="str">
        <x:v>Soil deformation</x:v>
      </x:c>
      <x:c r="B10" s="16" t="str">
        <x:v>Approximation</x:v>
      </x:c>
      <x:c r="C10" s="16" t="str">
        <x:v>Approximation</x:v>
      </x:c>
      <x:c r="D10" s="16" t="str">
        <x:v>Partial</x:v>
      </x:c>
      <x:c r="E10" s="16" t="str">
        <x:v>Partial</x:v>
      </x:c>
      <x:c r="F10" s="16" t="str">
        <x:v>Partial</x:v>
      </x:c>
      <x:c r="G10" s="16" t="str">
        <x:v>Partial</x:v>
      </x:c>
      <x:c r="H10" s="16" t="str">
        <x:v>Partial</x:v>
      </x:c>
      <x:c r="I10" s="16" t="str">
        <x:v>Partial</x:v>
      </x:c>
      <x:c r="J10" s="16" t="str">
        <x:v>Partial</x:v>
      </x:c>
    </x:row>
    <x:row r="11" ht="30" customHeight="1">
      <x:c r="A11" s="16" t="str">
        <x:v>Pressure–mechanics coupling</x:v>
      </x:c>
      <x:c r="B11" s="16" t="str">
        <x:v>Absent</x:v>
      </x:c>
      <x:c r="C11" s="16" t="str">
        <x:v>Absent</x:v>
      </x:c>
      <x:c r="D11" s="16" t="str">
        <x:v>Absent</x:v>
      </x:c>
      <x:c r="E11" s="16" t="str">
        <x:v>Partial</x:v>
      </x:c>
      <x:c r="F11" s="16" t="str">
        <x:v>Partial</x:v>
      </x:c>
      <x:c r="G11" s="16" t="str">
        <x:v>Partial</x:v>
      </x:c>
      <x:c r="H11" s="16" t="str">
        <x:v>Partial</x:v>
      </x:c>
      <x:c r="I11" s="16" t="str">
        <x:v>Partial</x:v>
      </x:c>
      <x:c r="J11" s="16" t="str">
        <x:v>Partial</x:v>
      </x:c>
    </x:row>
    <x:row r="12" ht="30" customHeight="1">
      <x:c r="A12" s="16" t="str">
        <x:v>Fracture / contact</x:v>
      </x:c>
      <x:c r="B12" s="16" t="str">
        <x:v>Visualization-only</x:v>
      </x:c>
      <x:c r="C12" s="16" t="str">
        <x:v>Visualization-only</x:v>
      </x:c>
      <x:c r="D12" s="16" t="str">
        <x:v>Partial</x:v>
      </x:c>
      <x:c r="E12" s="16" t="str">
        <x:v>Approximation</x:v>
      </x:c>
      <x:c r="F12" s="16" t="str">
        <x:v>Approximation</x:v>
      </x:c>
      <x:c r="G12" s="16" t="str">
        <x:v>Approximation</x:v>
      </x:c>
      <x:c r="H12" s="16" t="str">
        <x:v>Approximation</x:v>
      </x:c>
      <x:c r="I12" s="16" t="str">
        <x:v>Approximation</x:v>
      </x:c>
      <x:c r="J12" s="16" t="str">
        <x:v>Approximation</x:v>
      </x:c>
    </x:row>
    <x:row r="13" ht="30" customHeight="1">
      <x:c r="A13" s="16" t="str">
        <x:v>Conservation diagnostics</x:v>
      </x:c>
      <x:c r="B13" s="16" t="str">
        <x:v>Partial</x:v>
      </x:c>
      <x:c r="C13" s="16" t="str">
        <x:v>Partial</x:v>
      </x:c>
      <x:c r="D13" s="16" t="str">
        <x:v>Partial</x:v>
      </x:c>
      <x:c r="E13" s="16" t="str">
        <x:v>Implemented</x:v>
      </x:c>
      <x:c r="F13" s="16" t="str">
        <x:v>Implemented</x:v>
      </x:c>
      <x:c r="G13" s="16" t="str">
        <x:v>Implemented</x:v>
      </x:c>
      <x:c r="H13" s="16" t="str">
        <x:v>Implemented</x:v>
      </x:c>
      <x:c r="I13" s="16" t="str">
        <x:v>Implemented</x:v>
      </x:c>
      <x:c r="J13" s="16" t="str">
        <x:v>Implemented</x:v>
      </x:c>
    </x:row>
    <x:row r="14" ht="30" customHeight="1">
      <x:c r="A14" s="16" t="str">
        <x:v>Experimental validation</x:v>
      </x:c>
      <x:c r="B14" s="16" t="str">
        <x:v>Absent</x:v>
      </x:c>
      <x:c r="C14" s="16" t="str">
        <x:v>Absent</x:v>
      </x:c>
      <x:c r="D14" s="16" t="str">
        <x:v>Partial</x:v>
      </x:c>
      <x:c r="E14" s="16" t="str">
        <x:v>Partial</x:v>
      </x:c>
      <x:c r="F14" s="16" t="str">
        <x:v>Partial</x:v>
      </x:c>
      <x:c r="G14" s="16" t="str">
        <x:v>Partial</x:v>
      </x:c>
      <x:c r="H14" s="16" t="str">
        <x:v>Partial</x:v>
      </x:c>
      <x:c r="I14" s="16" t="str">
        <x:v>Partial</x:v>
      </x:c>
      <x:c r="J14" s="16" t="str">
        <x:v>Partial</x:v>
      </x:c>
    </x:row>
  </x:sheetData>
  <x:mergeCells>
    <x:mergeCell ref="A1:J1"/>
    <x:mergeCell ref="A2:J2"/>
  </x:mergeCells>
  <x:conditionalFormatting sqref="B5:J14">
    <x:cfRule type="containsText" dxfId="0" priority="1" operator="containsText" text="Implemented"/>
    <x:cfRule type="containsText" dxfId="1" priority="2" operator="containsText" text="Partial"/>
    <x:cfRule type="containsText" dxfId="2" priority="3" operator="containsText" text="Approximation"/>
    <x:cfRule type="containsText" dxfId="3" priority="4" operator="containsText" text="Visualization-only"/>
    <x:cfRule type="containsText" dxfId="4" priority="5" operator="containsText" text="Absent"/>
    <x:cfRule type="containsText" dxfId="5" priority="6" operator="containsText" text="Unknown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1784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44" hidden="0" customWidth="1"/>
    <x:col min="3" max="3" width="48" hidden="0" customWidth="1"/>
    <x:col min="4" max="4" width="55" hidden="0" customWidth="1"/>
    <x:col min="5" max="5" width="52" hidden="0" customWidth="1"/>
    <x:col min="6" max="6" width="21" hidden="0" customWidth="1"/>
    <x:col min="7" max="7" width="55" hidden="0" customWidth="1"/>
    <x:col min="8" max="8" width="48" hidden="0" customWidth="1"/>
  </x:cols>
  <x:sheetData>
    <x:row r="1" ht="30" customHeight="1">
      <x:c r="A1" s="3" t="str">
        <x:v>Changes, limitations and evidence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Every row points to a commit plus source, documentation or tests. Missing historical detail is labeled rather than inferred from current code.</x:v>
      </x:c>
      <x:c r="B2" s="7"/>
      <x:c r="C2" s="7"/>
      <x:c r="D2" s="7"/>
      <x:c r="E2" s="7"/>
      <x:c r="F2" s="7"/>
      <x:c r="G2" s="7"/>
      <x:c r="H2" s="7"/>
    </x:row>
    <x:row r="4">
      <x:c r="A4" s="12" t="str">
        <x:v>Version</x:v>
      </x:c>
      <x:c r="B4" s="12" t="str">
        <x:v>Commit</x:v>
      </x:c>
      <x:c r="C4" s="12" t="str">
        <x:v>Physics/model change</x:v>
      </x:c>
      <x:c r="D4" s="12" t="str">
        <x:v>Current limitation</x:v>
      </x:c>
      <x:c r="E4" s="12" t="str">
        <x:v>Validation evidence</x:v>
      </x:c>
      <x:c r="F4" s="12" t="str">
        <x:v>Implementation status</x:v>
      </x:c>
      <x:c r="G4" s="12" t="str">
        <x:v>Source files / docs</x:v>
      </x:c>
      <x:c r="H4" s="12" t="str">
        <x:v>Tests / quantitative evidence</x:v>
      </x:c>
    </x:row>
    <x:row r="5" ht="76" customHeight="1">
      <x:c r="A5" s="16" t="str">
        <x:v>0.8.0</x:v>
      </x:c>
      <x:c r="B5" s="16" t="str">
        <x:v>f3e7f16eedd0bfc0efb41b5525fa0cb1702127c4</x:v>
      </x:c>
      <x:c r="C5" s="16" t="str">
        <x:v>2D bonded-soil/cap response added beside existing reduced porous model.</x:v>
      </x:c>
      <x:c r="D5" s="16" t="str">
        <x:v>Assumed pressure footprint; no gas-to-mechanics coupling or calibrated containment.</x:v>
      </x:c>
      <x:c r="E5" s="16" t="str">
        <x:v>Numerical and UI checks; no experimental field validation.</x:v>
      </x:c>
      <x:c r="F5" s="16" t="str">
        <x:v>Approximation</x:v>
      </x:c>
      <x:c r="G5" s="16" t="str">
        <x:v>src/ui/soilParticleModel.ts; docs/CAP_SOIL_PARTICLES.md</x:v>
      </x:c>
      <x:c r="H5" s="16" t="str">
        <x:v>103 documented tests / 15 tracked test files; soilParticleModel.test.ts</x:v>
      </x:c>
    </x:row>
    <x:row r="6" ht="76" customHeight="1">
      <x:c r="A6" s="16" t="str">
        <x:v>0.9.0</x:v>
      </x:c>
      <x:c r="B6" s="16" t="str">
        <x:v>3f48032c773a61611836e20f16c6d26c2d616244</x:v>
      </x:c>
      <x:c r="C6" s="16" t="str">
        <x:v>Irregular roots, broader opening and resurfacing peat-fire illustration.</x:v>
      </x:c>
      <x:c r="D6" s="16" t="str">
        <x:v>Crack shape and fire growth remain authored.</x:v>
      </x:c>
      <x:c r="E6" s="16" t="str">
        <x:v>Numerical and UI checks; no experimental field validation.</x:v>
      </x:c>
      <x:c r="F6" s="16" t="str">
        <x:v>Visualization-only</x:v>
      </x:c>
      <x:c r="G6" s="16" t="str">
        <x:v>src/ui/WideSoil.tsx; docs/WIDE_RUPTURE_FIRE.md</x:v>
      </x:c>
      <x:c r="H6" s="16" t="str">
        <x:v>106 documented tests / 16 tracked test files; wideSoil.test.ts</x:v>
      </x:c>
    </x:row>
    <x:row r="7" ht="76" customHeight="1">
      <x:c r="A7" s="16" t="str">
        <x:v>0.10.0</x:v>
      </x:c>
      <x:c r="B7" s="16" t="str">
        <x:v>ecc8daa557894b618c9fc1d18a2e6a37ce2a570d</x:v>
      </x:c>
      <x:c r="C7" s="16" t="str">
        <x:v>Separate FEM elastic/plastic benchmark and Mode-I tensile coupon with energy ledger.</x:v>
      </x:c>
      <x:c r="D7" s="16" t="str">
        <x:v>Homogeneous fixture and scalar coupon; not coupled field fracture.</x:v>
      </x:c>
      <x:c r="E7" s="16" t="str">
        <x:v>Analytic/refinement checks and two published strength observations; no holdout field validation.</x:v>
      </x:c>
      <x:c r="F7" s="16" t="str">
        <x:v>Partial</x:v>
      </x:c>
      <x:c r="G7" s="16" t="str">
        <x:v>src/mechanics/continuum.ts; src/mechanics/tensileFracture.ts</x:v>
      </x:c>
      <x:c r="H7" s="16" t="str">
        <x:v>18 tracked test files; mechanics and tensile suites</x:v>
      </x:c>
    </x:row>
    <x:row r="8" ht="76" customHeight="1">
      <x:c r="A8" s="16" t="str">
        <x:v>0.11.0</x:v>
      </x:c>
      <x:c r="B8" s="16" t="str">
        <x:v>05d9c292476677068e9040f5843e70b8ec33ec32</x:v>
      </x:c>
      <x:c r="C8" s="16" t="str">
        <x:v>3D phase-aware transport, brick poromechanics, finite source, cap, buoyancy and conservative coupling.</x:v>
      </x:c>
      <x:c r="D8" s="16" t="str">
        <x:v>Small strain; assumed materials; liquid flow/contact/multistep chemistry absent; fracture mesh gate fails.</x:v>
      </x:c>
      <x:c r="E8" s="16" t="str">
        <x:v>Mass/energy/work gates and analytic refinement; no matched experiment.</x:v>
      </x:c>
      <x:c r="F8" s="16" t="str">
        <x:v>Partial</x:v>
      </x:c>
      <x:c r="G8" s="16" t="str">
        <x:v>src/coupled/**; docs/COUPLED_MODEL.md</x:v>
      </x:c>
      <x:c r="H8" s="16" t="str">
        <x:v>133 documented tests / 22 tracked test files; ~5.74% fracture mesh-energy gate failure</x:v>
      </x:c>
    </x:row>
    <x:row r="9" ht="76" customHeight="1">
      <x:c r="A9" s="16" t="str">
        <x:v>0.12.0</x:v>
      </x:c>
      <x:c r="B9" s="16" t="str">
        <x:v>1ec0710c4addc39f8aa1c06cf2a6b06840862d38</x:v>
      </x:c>
      <x:c r="C9" s="16" t="str">
        <x:v>Natural cutaway and clearer evidence separation.</x:v>
      </x:c>
      <x:c r="D9" s="16" t="str">
        <x:v>No immutable replay bundle in current app; no identified solver validation change.</x:v>
      </x:c>
      <x:c r="E9" s="16" t="str">
        <x:v>Historical release-specific validation delta unavailable in reviewed docs.</x:v>
      </x:c>
      <x:c r="F9" s="16" t="str">
        <x:v>Unknown</x:v>
      </x:c>
      <x:c r="G9" s="16" t="str">
        <x:v>tag v0.12.0; docs/VALIDATION_STATUS.md</x:v>
      </x:c>
      <x:c r="H9" s="16" t="str">
        <x:v>25 tracked test files; exact release-specific case count unavailable</x:v>
      </x:c>
    </x:row>
    <x:row r="10" ht="76" customHeight="1">
      <x:c r="A10" s="16" t="str">
        <x:v>0.13.0</x:v>
      </x:c>
      <x:c r="B10" s="16" t="str">
        <x:v>6ac5b404eb2f87894704e91c876a7a05887528d2</x:v>
      </x:c>
      <x:c r="C10" s="16" t="str">
        <x:v>Finer precision timesteps and accepted numerical evidence.</x:v>
      </x:c>
      <x:c r="D10" s="16" t="str">
        <x:v>Precision preset is not a full convergence study or calibration.</x:v>
      </x:c>
      <x:c r="E10" s="16" t="str">
        <x:v>Numerical evidence only; matched experimental validation absent.</x:v>
      </x:c>
      <x:c r="F10" s="16" t="str">
        <x:v>Partial</x:v>
      </x:c>
      <x:c r="G10" s="16" t="str">
        <x:v>tag v0.13.0; docs/COUPLED_VALIDATION.md</x:v>
      </x:c>
      <x:c r="H10" s="16" t="str">
        <x:v>25 tracked test files; exact release-specific case count unavailable</x:v>
      </x:c>
    </x:row>
    <x:row r="11" ht="76" customHeight="1">
      <x:c r="A11" s="16" t="str">
        <x:v>0.14.0</x:v>
      </x:c>
      <x:c r="B11" s="16" t="str">
        <x:v>f97d28ac260164d4812483f9670957ec431dd2fb</x:v>
      </x:c>
      <x:c r="C11" s="16" t="str">
        <x:v>Complete gradual/rapid films and a 24 h + 30 s accepted fire protocol.</x:v>
      </x:c>
      <x:c r="D11" s="16" t="str">
        <x:v>Underground spread, excavation, mechanics, liquid flow and water paths remain absent/authored.</x:v>
      </x:c>
      <x:c r="E11" s="16" t="str">
        <x:v>Accepted-step mass residual ≤1e-7 kg and energy residual ≤1e-4 J; long-time convergence missing.</x:v>
      </x:c>
      <x:c r="F11" s="16" t="str">
        <x:v>Partial</x:v>
      </x:c>
      <x:c r="G11" s="16" t="str">
        <x:v>src/coupled/fireProtocol.ts; docs/FIRE_PROTOCOL.md</x:v>
      </x:c>
      <x:c r="H11" s="16" t="str">
        <x:v>30 tracked test files; final residuals documented in FIRE_PROTOCOL.md</x:v>
      </x:c>
    </x:row>
    <x:row r="12" ht="76" customHeight="1">
      <x:c r="A12" s="16" t="str">
        <x:v>0.15.0</x:v>
      </x:c>
      <x:c r="B12" s="16" t="str">
        <x:v>223eda6f7a8e29291ebb5844fc2aa3f655f5d1cb</x:v>
      </x:c>
      <x:c r="C12" s="16" t="str">
        <x:v>Visual refinement and film bundle; solver and accepted cache unchanged.</x:v>
      </x:c>
      <x:c r="D12" s="16" t="str">
        <x:v>Visual review does not improve or validate physics.</x:v>
      </x:c>
      <x:c r="E12" s="16" t="str">
        <x:v>Same physics evidence as 0.14; separate realism review only.</x:v>
      </x:c>
      <x:c r="F12" s="16" t="str">
        <x:v>Visualization-only</x:v>
      </x:c>
      <x:c r="G12" s="16" t="str">
        <x:v>docs/review/unified/realism-015.md</x:v>
      </x:c>
      <x:c r="H12" s="16" t="str">
        <x:v>31 tracked test files; 175 current-branch checks documented after visual integration</x:v>
      </x:c>
    </x:row>
    <x:row r="13" ht="76" customHeight="1">
      <x:c r="A13" s="16" t="str">
        <x:v>0.16.0</x:v>
      </x:c>
      <x:c r="B13" s="16" t="str">
        <x:v>4caaba31bf073fe8c9c2ce3dd793626a6d1d71c3</x:v>
      </x:c>
      <x:c r="C13" s="16" t="str">
        <x:v>Finite contact calorimeter, woven hose, deployable dome and current version comparison.</x:v>
      </x:c>
      <x:c r="D13" s="16" t="str">
        <x:v>Contact model is separate; wetting paths authored; final replacement films and field validation pending.</x:v>
      </x:c>
      <x:c r="E13" s="16" t="str">
        <x:v>Contact mass/energy tests plus full local software suite; no treatment-efficacy validation.</x:v>
      </x:c>
      <x:c r="F13" s="16" t="str">
        <x:v>Partial</x:v>
      </x:c>
      <x:c r="G13" s="16" t="str">
        <x:v>src/story/contactCooling.ts; docs/CONTACT_COOLING.md</x:v>
      </x:c>
      <x:c r="H13" s="16" t="str">
        <x:v>199 tests in 33 files at app baseline; typecheck/lint/build pass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6F5A9E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9" max="9" width="12" hidden="0" customWidth="1"/>
    <x:col min="10" max="10" width="20" hidden="0" customWidth="1"/>
  </x:cols>
  <x:sheetData>
    <x:row r="1" ht="30" customHeight="1">
      <x:c r="A1" s="3" t="str">
        <x:v>Comparison charts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Qualitative status counts and tracked test-file counts only. These are not accuracy, confidence or validation scores.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12" t="str">
        <x:v>Version</x:v>
      </x:c>
      <x:c r="B3" s="12" t="str">
        <x:v>Implemented</x:v>
      </x:c>
      <x:c r="C3" s="12" t="str">
        <x:v>Partial</x:v>
      </x:c>
      <x:c r="D3" s="12" t="str">
        <x:v>Approximation</x:v>
      </x:c>
      <x:c r="E3" s="12" t="str">
        <x:v>Visualization-only</x:v>
      </x:c>
      <x:c r="F3" s="12" t="str">
        <x:v>Absent</x:v>
      </x:c>
      <x:c r="G3" s="12" t="str">
        <x:v>Unknown</x:v>
      </x:c>
      <x:c r="I3" s="12" t="str">
        <x:v>Version</x:v>
      </x:c>
      <x:c r="J3" s="12" t="str">
        <x:v>Tracked test files</x:v>
      </x:c>
    </x:row>
    <x:row r="4">
      <x:c r="A4" s="16" t="str">
        <x:v>0.8.0</x:v>
      </x:c>
      <x:c r="B4" s="16" t="n">
        <x:f>COUNTIF('Constraint Matrix'!B$5:B$14,B$3)</x:f>
        <x:v>1</x:v>
      </x:c>
      <x:c r="C4" s="16" t="n">
        <x:f>COUNTIF('Constraint Matrix'!B$5:B$14,C$3)</x:f>
        <x:v>3</x:v>
      </x:c>
      <x:c r="D4" s="16" t="n">
        <x:f>COUNTIF('Constraint Matrix'!B$5:B$14,D$3)</x:f>
        <x:v>2</x:v>
      </x:c>
      <x:c r="E4" s="16" t="n">
        <x:f>COUNTIF('Constraint Matrix'!B$5:B$14,E$3)</x:f>
        <x:v>1</x:v>
      </x:c>
      <x:c r="F4" s="16" t="n">
        <x:f>COUNTIF('Constraint Matrix'!B$5:B$14,F$3)</x:f>
        <x:v>2</x:v>
      </x:c>
      <x:c r="G4" s="16" t="n">
        <x:f>COUNTIF('Constraint Matrix'!B$5:B$14,G$3)</x:f>
        <x:v>1</x:v>
      </x:c>
      <x:c r="I4" s="16" t="str">
        <x:v>0.8.0</x:v>
      </x:c>
      <x:c r="J4" s="16" t="n">
        <x:v>15</x:v>
      </x:c>
    </x:row>
    <x:row r="5">
      <x:c r="A5" s="16" t="str">
        <x:v>0.9.0</x:v>
      </x:c>
      <x:c r="B5" s="16" t="n">
        <x:f>COUNTIF('Constraint Matrix'!C$5:C$14,B$3)</x:f>
        <x:v>1</x:v>
      </x:c>
      <x:c r="C5" s="16" t="n">
        <x:f>COUNTIF('Constraint Matrix'!C$5:C$14,C$3)</x:f>
        <x:v>3</x:v>
      </x:c>
      <x:c r="D5" s="16" t="n">
        <x:f>COUNTIF('Constraint Matrix'!C$5:C$14,D$3)</x:f>
        <x:v>2</x:v>
      </x:c>
      <x:c r="E5" s="16" t="n">
        <x:f>COUNTIF('Constraint Matrix'!C$5:C$14,E$3)</x:f>
        <x:v>1</x:v>
      </x:c>
      <x:c r="F5" s="16" t="n">
        <x:f>COUNTIF('Constraint Matrix'!C$5:C$14,F$3)</x:f>
        <x:v>2</x:v>
      </x:c>
      <x:c r="G5" s="16" t="n">
        <x:f>COUNTIF('Constraint Matrix'!C$5:C$14,G$3)</x:f>
        <x:v>1</x:v>
      </x:c>
      <x:c r="I5" s="16" t="str">
        <x:v>0.9.0</x:v>
      </x:c>
      <x:c r="J5" s="16" t="n">
        <x:v>16</x:v>
      </x:c>
    </x:row>
    <x:row r="6">
      <x:c r="A6" s="16" t="str">
        <x:v>0.10.0</x:v>
      </x:c>
      <x:c r="B6" s="16" t="n">
        <x:f>COUNTIF('Constraint Matrix'!D$5:D$14,B$3)</x:f>
        <x:v>1</x:v>
      </x:c>
      <x:c r="C6" s="16" t="n">
        <x:f>COUNTIF('Constraint Matrix'!D$5:D$14,C$3)</x:f>
        <x:v>6</x:v>
      </x:c>
      <x:c r="D6" s="16" t="n">
        <x:f>COUNTIF('Constraint Matrix'!D$5:D$14,D$3)</x:f>
        <x:v>1</x:v>
      </x:c>
      <x:c r="E6" s="16" t="n">
        <x:f>COUNTIF('Constraint Matrix'!D$5:D$14,E$3)</x:f>
        <x:v>0</x:v>
      </x:c>
      <x:c r="F6" s="16" t="n">
        <x:f>COUNTIF('Constraint Matrix'!D$5:D$14,F$3)</x:f>
        <x:v>1</x:v>
      </x:c>
      <x:c r="G6" s="16" t="n">
        <x:f>COUNTIF('Constraint Matrix'!D$5:D$14,G$3)</x:f>
        <x:v>1</x:v>
      </x:c>
      <x:c r="I6" s="16" t="str">
        <x:v>0.10.0</x:v>
      </x:c>
      <x:c r="J6" s="16" t="n">
        <x:v>18</x:v>
      </x:c>
    </x:row>
    <x:row r="7">
      <x:c r="A7" s="16" t="str">
        <x:v>0.11.0</x:v>
      </x:c>
      <x:c r="B7" s="16" t="n">
        <x:f>COUNTIF('Constraint Matrix'!E$5:E$14,B$3)</x:f>
        <x:v>2</x:v>
      </x:c>
      <x:c r="C7" s="16" t="n">
        <x:f>COUNTIF('Constraint Matrix'!E$5:E$14,C$3)</x:f>
        <x:v>6</x:v>
      </x:c>
      <x:c r="D7" s="16" t="n">
        <x:f>COUNTIF('Constraint Matrix'!E$5:E$14,D$3)</x:f>
        <x:v>2</x:v>
      </x:c>
      <x:c r="E7" s="16" t="n">
        <x:f>COUNTIF('Constraint Matrix'!E$5:E$14,E$3)</x:f>
        <x:v>0</x:v>
      </x:c>
      <x:c r="F7" s="16" t="n">
        <x:f>COUNTIF('Constraint Matrix'!E$5:E$14,F$3)</x:f>
        <x:v>0</x:v>
      </x:c>
      <x:c r="G7" s="16" t="n">
        <x:f>COUNTIF('Constraint Matrix'!E$5:E$14,G$3)</x:f>
        <x:v>0</x:v>
      </x:c>
      <x:c r="I7" s="16" t="str">
        <x:v>0.11.0</x:v>
      </x:c>
      <x:c r="J7" s="16" t="n">
        <x:v>22</x:v>
      </x:c>
    </x:row>
    <x:row r="8">
      <x:c r="A8" s="16" t="str">
        <x:v>0.12.0</x:v>
      </x:c>
      <x:c r="B8" s="16" t="n">
        <x:f>COUNTIF('Constraint Matrix'!F$5:F$14,B$3)</x:f>
        <x:v>2</x:v>
      </x:c>
      <x:c r="C8" s="16" t="n">
        <x:f>COUNTIF('Constraint Matrix'!F$5:F$14,C$3)</x:f>
        <x:v>6</x:v>
      </x:c>
      <x:c r="D8" s="16" t="n">
        <x:f>COUNTIF('Constraint Matrix'!F$5:F$14,D$3)</x:f>
        <x:v>2</x:v>
      </x:c>
      <x:c r="E8" s="16" t="n">
        <x:f>COUNTIF('Constraint Matrix'!F$5:F$14,E$3)</x:f>
        <x:v>0</x:v>
      </x:c>
      <x:c r="F8" s="16" t="n">
        <x:f>COUNTIF('Constraint Matrix'!F$5:F$14,F$3)</x:f>
        <x:v>0</x:v>
      </x:c>
      <x:c r="G8" s="16" t="n">
        <x:f>COUNTIF('Constraint Matrix'!F$5:F$14,G$3)</x:f>
        <x:v>0</x:v>
      </x:c>
      <x:c r="I8" s="16" t="str">
        <x:v>0.12.0</x:v>
      </x:c>
      <x:c r="J8" s="16" t="n">
        <x:v>25</x:v>
      </x:c>
    </x:row>
    <x:row r="9">
      <x:c r="A9" s="16" t="str">
        <x:v>0.13.0</x:v>
      </x:c>
      <x:c r="B9" s="16" t="n">
        <x:f>COUNTIF('Constraint Matrix'!G$5:G$14,B$3)</x:f>
        <x:v>2</x:v>
      </x:c>
      <x:c r="C9" s="16" t="n">
        <x:f>COUNTIF('Constraint Matrix'!G$5:G$14,C$3)</x:f>
        <x:v>6</x:v>
      </x:c>
      <x:c r="D9" s="16" t="n">
        <x:f>COUNTIF('Constraint Matrix'!G$5:G$14,D$3)</x:f>
        <x:v>2</x:v>
      </x:c>
      <x:c r="E9" s="16" t="n">
        <x:f>COUNTIF('Constraint Matrix'!G$5:G$14,E$3)</x:f>
        <x:v>0</x:v>
      </x:c>
      <x:c r="F9" s="16" t="n">
        <x:f>COUNTIF('Constraint Matrix'!G$5:G$14,F$3)</x:f>
        <x:v>0</x:v>
      </x:c>
      <x:c r="G9" s="16" t="n">
        <x:f>COUNTIF('Constraint Matrix'!G$5:G$14,G$3)</x:f>
        <x:v>0</x:v>
      </x:c>
      <x:c r="I9" s="16" t="str">
        <x:v>0.13.0</x:v>
      </x:c>
      <x:c r="J9" s="16" t="n">
        <x:v>25</x:v>
      </x:c>
    </x:row>
    <x:row r="10">
      <x:c r="A10" s="16" t="str">
        <x:v>0.14.0</x:v>
      </x:c>
      <x:c r="B10" s="16" t="n">
        <x:f>COUNTIF('Constraint Matrix'!H$5:H$14,B$3)</x:f>
        <x:v>2</x:v>
      </x:c>
      <x:c r="C10" s="16" t="n">
        <x:f>COUNTIF('Constraint Matrix'!H$5:H$14,C$3)</x:f>
        <x:v>6</x:v>
      </x:c>
      <x:c r="D10" s="16" t="n">
        <x:f>COUNTIF('Constraint Matrix'!H$5:H$14,D$3)</x:f>
        <x:v>2</x:v>
      </x:c>
      <x:c r="E10" s="16" t="n">
        <x:f>COUNTIF('Constraint Matrix'!H$5:H$14,E$3)</x:f>
        <x:v>0</x:v>
      </x:c>
      <x:c r="F10" s="16" t="n">
        <x:f>COUNTIF('Constraint Matrix'!H$5:H$14,F$3)</x:f>
        <x:v>0</x:v>
      </x:c>
      <x:c r="G10" s="16" t="n">
        <x:f>COUNTIF('Constraint Matrix'!H$5:H$14,G$3)</x:f>
        <x:v>0</x:v>
      </x:c>
      <x:c r="I10" s="16" t="str">
        <x:v>0.14.0</x:v>
      </x:c>
      <x:c r="J10" s="16" t="n">
        <x:v>30</x:v>
      </x:c>
    </x:row>
    <x:row r="11">
      <x:c r="A11" s="16" t="str">
        <x:v>0.15.0</x:v>
      </x:c>
      <x:c r="B11" s="16" t="n">
        <x:f>COUNTIF('Constraint Matrix'!I$5:I$14,B$3)</x:f>
        <x:v>2</x:v>
      </x:c>
      <x:c r="C11" s="16" t="n">
        <x:f>COUNTIF('Constraint Matrix'!I$5:I$14,C$3)</x:f>
        <x:v>6</x:v>
      </x:c>
      <x:c r="D11" s="16" t="n">
        <x:f>COUNTIF('Constraint Matrix'!I$5:I$14,D$3)</x:f>
        <x:v>2</x:v>
      </x:c>
      <x:c r="E11" s="16" t="n">
        <x:f>COUNTIF('Constraint Matrix'!I$5:I$14,E$3)</x:f>
        <x:v>0</x:v>
      </x:c>
      <x:c r="F11" s="16" t="n">
        <x:f>COUNTIF('Constraint Matrix'!I$5:I$14,F$3)</x:f>
        <x:v>0</x:v>
      </x:c>
      <x:c r="G11" s="16" t="n">
        <x:f>COUNTIF('Constraint Matrix'!I$5:I$14,G$3)</x:f>
        <x:v>0</x:v>
      </x:c>
      <x:c r="I11" s="16" t="str">
        <x:v>0.15.0</x:v>
      </x:c>
      <x:c r="J11" s="16" t="n">
        <x:v>31</x:v>
      </x:c>
    </x:row>
    <x:row r="12">
      <x:c r="A12" s="16" t="str">
        <x:v>0.16.0</x:v>
      </x:c>
      <x:c r="B12" s="16" t="n">
        <x:f>COUNTIF('Constraint Matrix'!J$5:J$14,B$3)</x:f>
        <x:v>2</x:v>
      </x:c>
      <x:c r="C12" s="16" t="n">
        <x:f>COUNTIF('Constraint Matrix'!J$5:J$14,C$3)</x:f>
        <x:v>6</x:v>
      </x:c>
      <x:c r="D12" s="16" t="n">
        <x:f>COUNTIF('Constraint Matrix'!J$5:J$14,D$3)</x:f>
        <x:v>2</x:v>
      </x:c>
      <x:c r="E12" s="16" t="n">
        <x:f>COUNTIF('Constraint Matrix'!J$5:J$14,E$3)</x:f>
        <x:v>0</x:v>
      </x:c>
      <x:c r="F12" s="16" t="n">
        <x:f>COUNTIF('Constraint Matrix'!J$5:J$14,F$3)</x:f>
        <x:v>0</x:v>
      </x:c>
      <x:c r="G12" s="16" t="n">
        <x:f>COUNTIF('Constraint Matrix'!J$5:J$14,G$3)</x:f>
        <x:v>0</x:v>
      </x:c>
      <x:c r="I12" s="16" t="str">
        <x:v>0.16.0</x:v>
      </x:c>
      <x:c r="J12" s="16" t="n">
        <x:v>33</x:v>
      </x:c>
    </x:row>
    <x:row r="36" ht="36" customHeight="1">
      <x:c r="A36" s="20" t="str">
        <x:v>Interpretation: counts summarize documented implementation categories and repository test-file breadth. They do not measure correctness, accuracy, treatment success or experimental validity. Unknown is counted separately from Absent.</x:v>
      </x:c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  <x:c r="P36" s="20"/>
    </x:row>
  </x:sheetData>
  <x:mergeCells>
    <x:mergeCell ref="A1:P1"/>
    <x:mergeCell ref="A2:P2"/>
    <x:mergeCell ref="A36:P36"/>
  </x:mergeCells>
  <x:pageMargins left="0.7" right="0.7" top="0.75" bottom="0.75" header="0.3" footer="0.3"/>
  <x:drawing xmlns:r="http://schemas.openxmlformats.org/officeDocument/2006/relationships" r:id="Rc55c0a832e474936"/>
</x:worksheet>
</file>